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/Downloads/"/>
    </mc:Choice>
  </mc:AlternateContent>
  <xr:revisionPtr revIDLastSave="0" documentId="13_ncr:1_{B4CFB067-9E4F-FC41-905C-0604EA2FF92B}" xr6:coauthVersionLast="47" xr6:coauthVersionMax="47" xr10:uidLastSave="{00000000-0000-0000-0000-000000000000}"/>
  <bookViews>
    <workbookView xWindow="0" yWindow="760" windowWidth="23260" windowHeight="12460" xr2:uid="{60C2E2F6-AD98-4042-9BF5-DA3DB7B4AD4C}"/>
  </bookViews>
  <sheets>
    <sheet name="工作表1" sheetId="1" r:id="rId1"/>
    <sheet name="工作表2" sheetId="2" r:id="rId2"/>
  </sheets>
  <definedNames>
    <definedName name="_xlchart.v1.0" hidden="1">工作表1!$K$15</definedName>
    <definedName name="_xlchart.v1.1" hidden="1">工作表1!$K$2:$K$14</definedName>
    <definedName name="_xlchart.v1.10" hidden="1">工作表1!$K$15</definedName>
    <definedName name="_xlchart.v1.11" hidden="1">工作表1!$K$2:$K$14</definedName>
    <definedName name="_xlchart.v1.12" hidden="1">工作表1!$K$15</definedName>
    <definedName name="_xlchart.v1.13" hidden="1">工作表1!$K$2:$K$14</definedName>
    <definedName name="_xlchart.v1.14" hidden="1">工作表1!$K$15</definedName>
    <definedName name="_xlchart.v1.15" hidden="1">工作表1!$K$2:$K$14</definedName>
    <definedName name="_xlchart.v1.16" hidden="1">工作表1!$J$2:$J$15</definedName>
    <definedName name="_xlchart.v1.2" hidden="1">工作表1!$K$15</definedName>
    <definedName name="_xlchart.v1.3" hidden="1">工作表1!$K$2:$K$14</definedName>
    <definedName name="_xlchart.v1.4" hidden="1">工作表1!$K$15</definedName>
    <definedName name="_xlchart.v1.5" hidden="1">工作表1!$K$2:$K$14</definedName>
    <definedName name="_xlchart.v1.6" hidden="1">工作表1!$K$15</definedName>
    <definedName name="_xlchart.v1.7" hidden="1">工作表1!$K$2:$K$14</definedName>
    <definedName name="_xlchart.v1.8" hidden="1">工作表1!$K$15</definedName>
    <definedName name="_xlchart.v1.9" hidden="1">工作表1!$K$2:$K$14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2" i="1"/>
  <c r="J2" i="1"/>
  <c r="J3" i="1"/>
  <c r="J4" i="1"/>
  <c r="J5" i="1"/>
  <c r="J17" i="1" s="1"/>
  <c r="J6" i="1"/>
  <c r="J7" i="1"/>
  <c r="J8" i="1"/>
  <c r="J9" i="1"/>
  <c r="K9" i="1" s="1" a="1"/>
  <c r="K9" i="1" s="1"/>
  <c r="J10" i="1"/>
  <c r="L10" i="1" s="1" a="1"/>
  <c r="L10" i="1" s="1"/>
  <c r="J11" i="1"/>
  <c r="J12" i="1"/>
  <c r="J13" i="1"/>
  <c r="J14" i="1"/>
  <c r="J15" i="1"/>
  <c r="J15" i="2"/>
  <c r="L15" i="2" s="1" a="1"/>
  <c r="L15" i="2" s="1"/>
  <c r="H15" i="2"/>
  <c r="J14" i="2"/>
  <c r="H14" i="2"/>
  <c r="J13" i="2"/>
  <c r="L13" i="2" s="1" a="1"/>
  <c r="L13" i="2" s="1"/>
  <c r="H13" i="2"/>
  <c r="J12" i="2"/>
  <c r="H12" i="2"/>
  <c r="J11" i="2"/>
  <c r="H11" i="2"/>
  <c r="J10" i="2"/>
  <c r="L10" i="2" s="1" a="1"/>
  <c r="L10" i="2" s="1"/>
  <c r="H10" i="2"/>
  <c r="J9" i="2"/>
  <c r="L9" i="2" s="1" a="1"/>
  <c r="L9" i="2" s="1"/>
  <c r="H9" i="2"/>
  <c r="J8" i="2"/>
  <c r="L8" i="2" s="1" a="1"/>
  <c r="L8" i="2" s="1"/>
  <c r="H8" i="2"/>
  <c r="J7" i="2"/>
  <c r="L7" i="2" s="1" a="1"/>
  <c r="L7" i="2" s="1"/>
  <c r="H7" i="2"/>
  <c r="J6" i="2"/>
  <c r="H6" i="2"/>
  <c r="J5" i="2"/>
  <c r="H5" i="2"/>
  <c r="J4" i="2"/>
  <c r="L4" i="2" s="1" a="1"/>
  <c r="L4" i="2" s="1"/>
  <c r="H4" i="2"/>
  <c r="J3" i="2"/>
  <c r="L3" i="2" s="1" a="1"/>
  <c r="L3" i="2" s="1"/>
  <c r="H3" i="2"/>
  <c r="J2" i="2"/>
  <c r="L2" i="2" s="1" a="1"/>
  <c r="L2" i="2" s="1"/>
  <c r="H2" i="2"/>
  <c r="K2" i="1" a="1"/>
  <c r="K2" i="1" s="1"/>
  <c r="K3" i="1" a="1"/>
  <c r="K3" i="1" s="1"/>
  <c r="K4" i="1" a="1"/>
  <c r="K4" i="1" s="1"/>
  <c r="K6" i="1" a="1"/>
  <c r="K6" i="1" s="1"/>
  <c r="K7" i="1" a="1"/>
  <c r="K7" i="1" s="1"/>
  <c r="K8" i="1" a="1"/>
  <c r="K8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H17" i="1"/>
  <c r="D17" i="1"/>
  <c r="C17" i="1"/>
  <c r="L3" i="1" a="1"/>
  <c r="L3" i="1" s="1"/>
  <c r="L4" i="1" a="1"/>
  <c r="L4" i="1"/>
  <c r="L6" i="1" a="1"/>
  <c r="L6" i="1" s="1"/>
  <c r="L7" i="1" a="1"/>
  <c r="L7" i="1" s="1"/>
  <c r="L8" i="1" a="1"/>
  <c r="L8" i="1" s="1"/>
  <c r="L9" i="1" a="1"/>
  <c r="L9" i="1" s="1"/>
  <c r="L11" i="1" a="1"/>
  <c r="L11" i="1" s="1"/>
  <c r="L12" i="1" a="1"/>
  <c r="L12" i="1" s="1"/>
  <c r="L13" i="1" a="1"/>
  <c r="L13" i="1" s="1"/>
  <c r="L14" i="1" a="1"/>
  <c r="L14" i="1" s="1"/>
  <c r="L15" i="1" a="1"/>
  <c r="L15" i="1"/>
  <c r="L2" i="1" a="1"/>
  <c r="L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K5" i="1" l="1" a="1"/>
  <c r="K5" i="1" s="1"/>
  <c r="L5" i="1" a="1"/>
  <c r="L5" i="1" s="1"/>
  <c r="K10" i="1" a="1"/>
  <c r="K10" i="1" s="1"/>
  <c r="L5" i="2" a="1"/>
  <c r="L5" i="2" s="1"/>
  <c r="L12" i="2" a="1"/>
  <c r="L12" i="2" s="1"/>
  <c r="L14" i="2" a="1"/>
  <c r="L14" i="2" s="1"/>
  <c r="L6" i="2" a="1"/>
  <c r="L6" i="2" s="1"/>
  <c r="L11" i="2" a="1"/>
  <c r="L1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<sst xmlns="http://schemas.openxmlformats.org/spreadsheetml/2006/main" count="79" uniqueCount="34">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</sst>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一般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altLang="zh-TW"/>
              <a:t> overall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工作表1!$J$1</c:f>
              <c:strCache>
                <c:ptCount val="1"/>
                <c:pt idx="0">
                  <c:v>Q2: 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工作表1!$B$2:$B$15</c:f>
              <c:strCache>
                <c:ptCount val="14"/>
                <c:pt idx="0">
                  <c:v>何大美</c:v>
                </c:pt>
                <c:pt idx="1">
                  <c:v>陳慢慢</c:v>
                </c:pt>
                <c:pt idx="2">
                  <c:v>黃阿坤</c:v>
                </c:pt>
                <c:pt idx="3">
                  <c:v>李大仁</c:v>
                </c:pt>
                <c:pt idx="4">
                  <c:v>陳小奇</c:v>
                </c:pt>
                <c:pt idx="5">
                  <c:v>羅小花</c:v>
                </c:pt>
                <c:pt idx="6">
                  <c:v>李小君</c:v>
                </c:pt>
                <c:pt idx="7">
                  <c:v>李大輝</c:v>
                </c:pt>
                <c:pt idx="8">
                  <c:v>白阿國</c:v>
                </c:pt>
                <c:pt idx="9">
                  <c:v>王小明</c:v>
                </c:pt>
                <c:pt idx="10">
                  <c:v>李大月</c:v>
                </c:pt>
                <c:pt idx="11">
                  <c:v>林大義</c:v>
                </c:pt>
                <c:pt idx="12">
                  <c:v>宋小倫</c:v>
                </c:pt>
                <c:pt idx="13">
                  <c:v>許亮亮</c:v>
                </c:pt>
              </c:strCache>
            </c:strRef>
          </c:cat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80.800000000000011</c:v>
                </c:pt>
                <c:pt idx="4">
                  <c:v>84.7</c:v>
                </c:pt>
                <c:pt idx="5">
                  <c:v>80.800000000000011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1-B64C-B792-615DFAC10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502223"/>
        <c:axId val="1907434511"/>
      </c:barChart>
      <c:catAx>
        <c:axId val="190750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7434511"/>
        <c:crosses val="autoZero"/>
        <c:auto val="1"/>
        <c:lblAlgn val="ctr"/>
        <c:lblOffset val="100"/>
        <c:noMultiLvlLbl val="0"/>
      </c:catAx>
      <c:valAx>
        <c:axId val="190743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0750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工作表1!$M$2:$M$3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工作表1!$N$2:$N$3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6-7A43-A197-78CF7687931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工作表2!$J$15</c:f>
              <c:strCache>
                <c:ptCount val="1"/>
                <c:pt idx="0">
                  <c:v>55.6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工作表2!$K$1:$K$14</c:f>
              <c:strCache>
                <c:ptCount val="14"/>
                <c:pt idx="0">
                  <c:v>name</c:v>
                </c:pt>
                <c:pt idx="1">
                  <c:v>何大美</c:v>
                </c:pt>
                <c:pt idx="2">
                  <c:v>陳慢慢</c:v>
                </c:pt>
                <c:pt idx="3">
                  <c:v>黃阿坤</c:v>
                </c:pt>
                <c:pt idx="4">
                  <c:v>李大仁</c:v>
                </c:pt>
                <c:pt idx="5">
                  <c:v>陳小奇</c:v>
                </c:pt>
                <c:pt idx="6">
                  <c:v>羅小花</c:v>
                </c:pt>
                <c:pt idx="7">
                  <c:v>李小君</c:v>
                </c:pt>
                <c:pt idx="8">
                  <c:v>李大輝</c:v>
                </c:pt>
                <c:pt idx="9">
                  <c:v>白阿國</c:v>
                </c:pt>
                <c:pt idx="10">
                  <c:v>王小明</c:v>
                </c:pt>
                <c:pt idx="11">
                  <c:v>李大月</c:v>
                </c:pt>
                <c:pt idx="12">
                  <c:v>林大義</c:v>
                </c:pt>
                <c:pt idx="13">
                  <c:v>宋小倫</c:v>
                </c:pt>
              </c:strCache>
            </c:strRef>
          </c:cat>
          <c:val>
            <c:numRef>
              <c:f>工作表2!$K$15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5-5D49-98E4-171A42D68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468527"/>
        <c:axId val="1178037791"/>
      </c:barChart>
      <c:catAx>
        <c:axId val="117046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78037791"/>
        <c:crosses val="autoZero"/>
        <c:auto val="1"/>
        <c:lblAlgn val="ctr"/>
        <c:lblOffset val="100"/>
        <c:noMultiLvlLbl val="0"/>
      </c:catAx>
      <c:valAx>
        <c:axId val="11780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7046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445595</xdr:colOff>
      <xdr:row>25</xdr:row>
      <xdr:rowOff>117367</xdr:rowOff>
    </xdr:from>
    <xdr:to>
      <xdr:col>10</xdr:col>
      <xdr:colOff>1689319</xdr:colOff>
      <xdr:row>40</xdr:row>
      <xdr:rowOff>68756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CECF53BD-6A5B-B5B7-37C4-0AB372066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117147</xdr:colOff>
      <xdr:row>18</xdr:row>
      <xdr:rowOff>117365</xdr:rowOff>
    </xdr:from>
    <xdr:to>
      <xdr:col>16</xdr:col>
      <xdr:colOff>266044</xdr:colOff>
      <xdr:row>33</xdr:row>
      <xdr:rowOff>46858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BE74FC74-4D5C-458A-0E3F-E3AFE87F9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283883</xdr:colOff>
      <xdr:row>5</xdr:row>
      <xdr:rowOff>126253</xdr:rowOff>
    </xdr:from>
    <xdr:to>
      <xdr:col>10</xdr:col>
      <xdr:colOff>709706</xdr:colOff>
      <xdr:row>19</xdr:row>
      <xdr:rowOff>142688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F154DC8-1E78-C2E6-0912-65FD10260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N24"/>
  <sheetViews>
    <sheetView tabSelected="1" zoomScale="75" zoomScaleNormal="94" workbookViewId="0">
      <selection activeCell="H23" sqref="H23"/>
    </sheetView>
  </sheetViews>
  <sheetFormatPr baseColWidth="10" defaultColWidth="8.83203125" defaultRowHeight="15"/>
  <cols>
    <col min="3" max="4" width="13" bestFit="1" customWidth="1"/>
    <col min="8" max="8" width="18.6640625" bestFit="1" customWidth="1"/>
    <col min="10" max="10" width="16.1640625" bestFit="1" customWidth="1"/>
    <col min="11" max="11" width="24.1640625" customWidth="1"/>
    <col min="12" max="12" width="23" customWidth="1"/>
  </cols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4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SUM(C2:G2)*0.1 + I2*0.5</f>
        <v>91.7</v>
      </c>
      <c r="K2" t="str" cm="1">
        <f t="array" ref="K2">_xlfn.IFS(J2&gt;=90,"A",J2&gt;=80,"B",J2&gt;=70,"C",J2&gt;=60,"D",J2&gt;=0,"F")</f>
        <v>A</v>
      </c>
      <c r="L2" s="5" t="str" cm="1">
        <f t="array" ref="L2">_xlfn.IFS(J2&gt;=60,"pass",J2&lt;60,"fail")</f>
        <v>pass</v>
      </c>
      <c r="M2" t="s">
        <v>32</v>
      </c>
      <c r="N2">
        <f>COUNTIF(L2:L15,M2)</f>
        <v>12</v>
      </c>
    </row>
    <row r="3" spans="1:14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>
        <f t="shared" ref="J3:J15" si="1">SUM(C3:G3)*0.1 + I3*0.5</f>
        <v>90</v>
      </c>
      <c r="K3" t="str" cm="1">
        <f t="array" ref="K3">_xlfn.IFS(J3&gt;=90,"A",J3&gt;=80,"B",J3&gt;=70,"C",J3&gt;=60,"D",J3&gt;=0,"F")</f>
        <v>A</v>
      </c>
      <c r="L3" s="5" t="str" cm="1">
        <f t="array" ref="L3">_xlfn.IFS(J3&gt;=60,"pass",J3&lt;60,"fail")</f>
        <v>pass</v>
      </c>
      <c r="M3" t="s">
        <v>33</v>
      </c>
      <c r="N3">
        <f>COUNTIF(L2:L15,M3)</f>
        <v>2</v>
      </c>
    </row>
    <row r="4" spans="1:14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t="shared" si="1"/>
        <v>81.2</v>
      </c>
      <c r="K4" t="str" cm="1">
        <f t="array" ref="K4">_xlfn.IFS(J4&gt;=90,"A",J4&gt;=80,"B",J4&gt;=70,"C",J4&gt;=60,"D",J4&gt;=0,"F")</f>
        <v>B</v>
      </c>
      <c r="L4" s="5" t="str" cm="1">
        <f t="array" ref="L4">_xlfn.IFS(J4&gt;=60,"pass",J4&lt;60,"fail")</f>
        <v>pass</v>
      </c>
    </row>
    <row r="5" spans="1:14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>
        <f t="shared" si="1"/>
        <v>80.800000000000011</v>
      </c>
      <c r="K5" t="str" cm="1">
        <f t="array" ref="K5">_xlfn.IFS(J5&gt;=90,"A",J5&gt;=80,"B",J5&gt;=70,"C",J5&gt;=60,"D",J5&gt;=0,"F")</f>
        <v>B</v>
      </c>
      <c r="L5" s="5" t="str" cm="1">
        <f t="array" ref="L5">_xlfn.IFS(J5&gt;=60,"pass",J5&lt;60,"fail")</f>
        <v>pass</v>
      </c>
    </row>
    <row r="6" spans="1:14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>
        <f t="shared" si="1"/>
        <v>84.7</v>
      </c>
      <c r="K6" t="str" cm="1">
        <f t="array" ref="K6">_xlfn.IFS(J6&gt;=90,"A",J6&gt;=80,"B",J6&gt;=70,"C",J6&gt;=60,"D",J6&gt;=0,"F")</f>
        <v>B</v>
      </c>
      <c r="L6" s="5" t="str" cm="1">
        <f t="array" ref="L6">_xlfn.IFS(J6&gt;=60,"pass",J6&lt;60,"fail")</f>
        <v>pass</v>
      </c>
    </row>
    <row r="7" spans="1:14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>
        <f t="shared" si="1"/>
        <v>80.800000000000011</v>
      </c>
      <c r="K7" t="str" cm="1">
        <f t="array" ref="K7">_xlfn.IFS(J7&gt;=90,"A",J7&gt;=80,"B",J7&gt;=70,"C",J7&gt;=60,"D",J7&gt;=0,"F")</f>
        <v>B</v>
      </c>
      <c r="L7" s="5" t="str" cm="1">
        <f t="array" ref="L7">_xlfn.IFS(J7&gt;=60,"pass",J7&lt;60,"fail")</f>
        <v>pass</v>
      </c>
    </row>
    <row r="8" spans="1:14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1"/>
        <v>77.900000000000006</v>
      </c>
      <c r="K8" t="str" cm="1">
        <f t="array" ref="K8">_xlfn.IFS(J8&gt;=90,"A",J8&gt;=80,"B",J8&gt;=70,"C",J8&gt;=60,"D",J8&gt;=0,"F")</f>
        <v>C</v>
      </c>
      <c r="L8" s="5" t="str" cm="1">
        <f t="array" ref="L8">_xlfn.IFS(J8&gt;=60,"pass",J8&lt;60,"fail")</f>
        <v>pass</v>
      </c>
    </row>
    <row r="9" spans="1:14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>
        <f t="shared" si="1"/>
        <v>74.2</v>
      </c>
      <c r="K9" t="str" cm="1">
        <f t="array" ref="K9">_xlfn.IFS(J9&gt;=90,"A",J9&gt;=80,"B",J9&gt;=70,"C",J9&gt;=60,"D",J9&gt;=0,"F")</f>
        <v>C</v>
      </c>
      <c r="L9" s="5" t="str" cm="1">
        <f t="array" ref="L9">_xlfn.IFS(J9&gt;=60,"pass",J9&lt;60,"fail")</f>
        <v>pass</v>
      </c>
    </row>
    <row r="10" spans="1:14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>
        <f t="shared" si="1"/>
        <v>75.2</v>
      </c>
      <c r="K10" t="str" cm="1">
        <f t="array" ref="K10">_xlfn.IFS(J10&gt;=90,"A",J10&gt;=80,"B",J10&gt;=70,"C",J10&gt;=60,"D",J10&gt;=0,"F")</f>
        <v>C</v>
      </c>
      <c r="L10" s="5" t="str" cm="1">
        <f t="array" ref="L10">_xlfn.IFS(J10&gt;=60,"pass",J10&lt;60,"fail")</f>
        <v>pass</v>
      </c>
    </row>
    <row r="11" spans="1:14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1"/>
        <v>77.599999999999994</v>
      </c>
      <c r="K11" t="str" cm="1">
        <f t="array" ref="K11">_xlfn.IFS(J11&gt;=90,"A",J11&gt;=80,"B",J11&gt;=70,"C",J11&gt;=60,"D",J11&gt;=0,"F")</f>
        <v>C</v>
      </c>
      <c r="L11" s="5" t="str" cm="1">
        <f t="array" ref="L11">_xlfn.IFS(J11&gt;=60,"pass",J11&lt;60,"fail")</f>
        <v>pass</v>
      </c>
    </row>
    <row r="12" spans="1:14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>
        <f t="shared" si="1"/>
        <v>80.599999999999994</v>
      </c>
      <c r="K12" t="str" cm="1">
        <f t="array" ref="K12">_xlfn.IFS(J12&gt;=90,"A",J12&gt;=80,"B",J12&gt;=70,"C",J12&gt;=60,"D",J12&gt;=0,"F")</f>
        <v>B</v>
      </c>
      <c r="L12" s="5" t="str" cm="1">
        <f t="array" ref="L12">_xlfn.IFS(J12&gt;=60,"pass",J12&lt;60,"fail")</f>
        <v>pass</v>
      </c>
    </row>
    <row r="13" spans="1:14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1"/>
        <v>59</v>
      </c>
      <c r="K13" t="str" cm="1">
        <f t="array" ref="K13">_xlfn.IFS(J13&gt;=90,"A",J13&gt;=80,"B",J13&gt;=70,"C",J13&gt;=60,"D",J13&gt;=0,"F")</f>
        <v>F</v>
      </c>
      <c r="L13" s="5" t="str" cm="1">
        <f t="array" ref="L13">_xlfn.IFS(J13&gt;=60,"pass",J13&lt;60,"fail")</f>
        <v>fail</v>
      </c>
    </row>
    <row r="14" spans="1:14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1"/>
        <v>66.900000000000006</v>
      </c>
      <c r="K14" t="str" cm="1">
        <f t="array" ref="K14">_xlfn.IFS(J14&gt;=90,"A",J14&gt;=80,"B",J14&gt;=70,"C",J14&gt;=60,"D",J14&gt;=0,"F")</f>
        <v>D</v>
      </c>
      <c r="L14" s="5" t="str" cm="1">
        <f t="array" ref="L14">_xlfn.IFS(J14&gt;=60,"pass",J14&lt;60,"fail")</f>
        <v>pass</v>
      </c>
    </row>
    <row r="15" spans="1:14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1"/>
        <v>55.6</v>
      </c>
      <c r="K15" t="str" cm="1">
        <f t="array" ref="K15">_xlfn.IFS(J15&gt;=90,"A",J15&gt;=80,"B",J15&gt;=70,"C",J15&gt;=60,"D",J15&gt;=0,"F")</f>
        <v>F</v>
      </c>
      <c r="L15" s="5" t="str" cm="1">
        <f t="array" ref="L15">_xlfn.IFS(J15&gt;=60,"pass",J15&lt;60,"fail")</f>
        <v>fail</v>
      </c>
    </row>
    <row r="16" spans="1:14" ht="16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0">
      <c r="C17">
        <f>LARGE(C2:C15,1)</f>
        <v>98</v>
      </c>
      <c r="D17">
        <f>LARGE(D2:D15,2)</f>
        <v>92</v>
      </c>
      <c r="H17" s="1">
        <f>COUNTIF(H2:H15,"&lt;=80")</f>
        <v>8</v>
      </c>
      <c r="J17">
        <f>AVERAGE(J2:J15)</f>
        <v>76.871428571428581</v>
      </c>
    </row>
    <row r="24" spans="3:10" ht="16">
      <c r="J24" s="4" t="s">
        <v>30</v>
      </c>
    </row>
  </sheetData>
  <phoneticPr fontId="2" type="noConversion"/>
  <conditionalFormatting sqref="L2:L15">
    <cfRule type="cellIs" dxfId="5" priority="3" operator="greaterThanOrEqual">
      <formula>60</formula>
    </cfRule>
    <cfRule type="cellIs" dxfId="4" priority="2" operator="lessThan">
      <formula>60</formula>
    </cfRule>
  </conditionalFormatting>
  <conditionalFormatting sqref="L2:L15">
    <cfRule type="containsText" dxfId="3" priority="1" operator="containsText" text="fail">
      <formula>NOT(ISERROR(SEARCH("fail",L2)))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4357-0B8D-5E43-872E-3870E60AFBB7}">
  <dimension ref="A1:L16"/>
  <sheetViews>
    <sheetView topLeftCell="D1" zoomScale="170" workbookViewId="0">
      <selection activeCell="J1" sqref="J1:K15"/>
    </sheetView>
  </sheetViews>
  <sheetFormatPr baseColWidth="10" defaultRowHeight="15"/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1" t="s">
        <v>15</v>
      </c>
      <c r="L1" s="3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SUM(C2:G2)*0.1 + I2*0.5</f>
        <v>91.7</v>
      </c>
      <c r="K2" s="1" t="s">
        <v>0</v>
      </c>
      <c r="L2" t="str" cm="1">
        <f t="array" ref="L2">_xlfn.IFS(J2&gt;=60,"pass",J2&lt;60,"fail")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>
        <f t="shared" ref="J3:J15" si="1">SUM(C3:G3)*0.1 + I3*0.5</f>
        <v>90</v>
      </c>
      <c r="K3" s="1" t="s">
        <v>1</v>
      </c>
      <c r="L3" t="str" cm="1">
        <f t="array" ref="L3">_xlfn.IFS(J3&gt;=60,"pass",J3&lt;60,"fail")</f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t="shared" si="1"/>
        <v>81.2</v>
      </c>
      <c r="K4" s="1" t="s">
        <v>2</v>
      </c>
      <c r="L4" t="str" cm="1">
        <f t="array" ref="L4">_xlfn.IFS(J4&gt;=60,"pass",J4&lt;60,"fail")</f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>
        <f t="shared" si="1"/>
        <v>80.800000000000011</v>
      </c>
      <c r="K5" s="1" t="s">
        <v>3</v>
      </c>
      <c r="L5" t="str" cm="1">
        <f t="array" ref="L5">_xlfn.IFS(J5&gt;=60,"pass",J5&lt;60,"fail")</f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>
        <f t="shared" si="1"/>
        <v>84.7</v>
      </c>
      <c r="K6" s="1" t="s">
        <v>4</v>
      </c>
      <c r="L6" t="str" cm="1">
        <f t="array" ref="L6">_xlfn.IFS(J6&gt;=60,"pass",J6&lt;60,"fail")</f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>
        <f t="shared" si="1"/>
        <v>80.800000000000011</v>
      </c>
      <c r="K7" s="1" t="s">
        <v>5</v>
      </c>
      <c r="L7" t="str" cm="1">
        <f t="array" ref="L7">_xlfn.IFS(J7&gt;=60,"pass",J7&lt;60,"fail")</f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1"/>
        <v>77.900000000000006</v>
      </c>
      <c r="K8" s="1" t="s">
        <v>6</v>
      </c>
      <c r="L8" t="str" cm="1">
        <f t="array" ref="L8">_xlfn.IFS(J8&gt;=60,"pass",J8&lt;60,"fail")</f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>
        <f t="shared" si="1"/>
        <v>74.2</v>
      </c>
      <c r="K9" s="1" t="s">
        <v>7</v>
      </c>
      <c r="L9" t="str" cm="1">
        <f t="array" ref="L9">_xlfn.IFS(J9&gt;=60,"pass",J9&lt;60,"fail")</f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>
        <f t="shared" si="1"/>
        <v>75.2</v>
      </c>
      <c r="K10" s="1" t="s">
        <v>8</v>
      </c>
      <c r="L10" t="str" cm="1">
        <f t="array" ref="L10">_xlfn.IFS(J10&gt;=60,"pass",J10&lt;60,"fail")</f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1"/>
        <v>77.599999999999994</v>
      </c>
      <c r="K11" s="1" t="s">
        <v>9</v>
      </c>
      <c r="L11" t="str" cm="1">
        <f t="array" ref="L11">_xlfn.IFS(J11&gt;=60,"pass",J11&lt;60,"fail")</f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>
        <f t="shared" si="1"/>
        <v>80.599999999999994</v>
      </c>
      <c r="K12" s="1" t="s">
        <v>10</v>
      </c>
      <c r="L12" t="str" cm="1">
        <f t="array" ref="L12">_xlfn.IFS(J12&gt;=60,"pass",J12&lt;60,"fail")</f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1"/>
        <v>59</v>
      </c>
      <c r="K13" s="1" t="s">
        <v>11</v>
      </c>
      <c r="L13" t="str" cm="1">
        <f t="array" ref="L13">_xlfn.IFS(J13&gt;=60,"pass",J13&lt;60,"fail")</f>
        <v>fail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1"/>
        <v>66.900000000000006</v>
      </c>
      <c r="K14" s="1" t="s">
        <v>12</v>
      </c>
      <c r="L14" t="str" cm="1">
        <f t="array" ref="L14">_xlfn.IFS(J14&gt;=60,"pass",J14&lt;60,"fail")</f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1"/>
        <v>55.6</v>
      </c>
      <c r="K15" s="1" t="s">
        <v>13</v>
      </c>
      <c r="L15" t="str" cm="1">
        <f t="array" ref="L15">_xlfn.IFS(J15&gt;=60,"pass",J15&lt;60,"fail")</f>
        <v>fail</v>
      </c>
    </row>
    <row r="16" spans="1:12" ht="16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</sheetData>
  <phoneticPr fontId="2" type="noConversion"/>
  <conditionalFormatting sqref="L2:L15">
    <cfRule type="cellIs" dxfId="1" priority="2" operator="lessThan">
      <formula>60</formula>
    </cfRule>
    <cfRule type="cellIs" dxfId="2" priority="3" operator="greaterThanOrEqual">
      <formula>60</formula>
    </cfRule>
  </conditionalFormatting>
  <conditionalFormatting sqref="L2:L15">
    <cfRule type="containsText" dxfId="0" priority="1" operator="containsText" text="fail">
      <formula>NOT(ISERROR(SEARCH("fail",L2)))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ChiaNi Hsieh</cp:lastModifiedBy>
  <dcterms:created xsi:type="dcterms:W3CDTF">2023-10-19T05:27:10Z</dcterms:created>
  <dcterms:modified xsi:type="dcterms:W3CDTF">2025-10-09T15:43:18Z</dcterms:modified>
</cp:coreProperties>
</file>